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김훈희\Downloads\shinsung-ncp-management-main\shinsung-ncp-management-main\"/>
    </mc:Choice>
  </mc:AlternateContent>
  <bookViews>
    <workbookView xWindow="0" yWindow="0" windowWidth="28800" windowHeight="12165"/>
  </bookViews>
  <sheets>
    <sheet name="사내불량" sheetId="1" r:id="rId1"/>
    <sheet name="사외불량" sheetId="3" r:id="rId2"/>
  </sheets>
  <definedNames>
    <definedName name="_xlnm._FilterDatabase" localSheetId="0" hidden="1">사내불량!$B$3:$Q$30</definedName>
    <definedName name="_xlnm._FilterDatabase" localSheetId="1" hidden="1">사외불량!$B$3:$O$29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4" i="1"/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4" i="1"/>
  <c r="H8" i="3"/>
  <c r="H7" i="3"/>
  <c r="H6" i="3"/>
  <c r="H5" i="3"/>
  <c r="H4" i="3"/>
</calcChain>
</file>

<file path=xl/sharedStrings.xml><?xml version="1.0" encoding="utf-8"?>
<sst xmlns="http://schemas.openxmlformats.org/spreadsheetml/2006/main" count="175" uniqueCount="108">
  <si>
    <t>품명</t>
    <phoneticPr fontId="1" type="noConversion"/>
  </si>
  <si>
    <t>발주수량</t>
    <phoneticPr fontId="1" type="noConversion"/>
  </si>
  <si>
    <t>검사일자</t>
    <phoneticPr fontId="1" type="noConversion"/>
  </si>
  <si>
    <t>한솔아이원스</t>
  </si>
  <si>
    <t>뉴엠텍</t>
  </si>
  <si>
    <t>PSD</t>
  </si>
  <si>
    <t>업체명</t>
    <phoneticPr fontId="1" type="noConversion"/>
  </si>
  <si>
    <t>검사수량</t>
  </si>
  <si>
    <t>불량수량</t>
  </si>
  <si>
    <t>찍힘</t>
    <phoneticPr fontId="1" type="noConversion"/>
  </si>
  <si>
    <t>외관불량</t>
  </si>
  <si>
    <t>치수불량</t>
  </si>
  <si>
    <t>단차미달</t>
  </si>
  <si>
    <t>형상불량</t>
  </si>
  <si>
    <t>편심불량</t>
  </si>
  <si>
    <t>도금 불량</t>
  </si>
  <si>
    <t>기타</t>
    <phoneticPr fontId="1" type="noConversion"/>
  </si>
  <si>
    <t xml:space="preserve"> 불량 유형</t>
    <phoneticPr fontId="1" type="noConversion"/>
  </si>
  <si>
    <t>뉴엠텍</t>
    <phoneticPr fontId="1" type="noConversion"/>
  </si>
  <si>
    <t>부적합 통보일자</t>
    <phoneticPr fontId="1" type="noConversion"/>
  </si>
  <si>
    <t>품명</t>
    <phoneticPr fontId="1" type="noConversion"/>
  </si>
  <si>
    <t>출하 수량</t>
    <phoneticPr fontId="1" type="noConversion"/>
  </si>
  <si>
    <t>부적합품 수량</t>
    <phoneticPr fontId="1" type="noConversion"/>
  </si>
  <si>
    <t>불량율</t>
    <phoneticPr fontId="1" type="noConversion"/>
  </si>
  <si>
    <t>외관불량</t>
    <phoneticPr fontId="1" type="noConversion"/>
  </si>
  <si>
    <t>치수불량</t>
    <phoneticPr fontId="1" type="noConversion"/>
  </si>
  <si>
    <t>단차미달</t>
    <phoneticPr fontId="1" type="noConversion"/>
  </si>
  <si>
    <t>형상불량</t>
    <phoneticPr fontId="1" type="noConversion"/>
  </si>
  <si>
    <t>편심불량</t>
    <phoneticPr fontId="1" type="noConversion"/>
  </si>
  <si>
    <t>도금 불량</t>
    <phoneticPr fontId="1" type="noConversion"/>
  </si>
  <si>
    <t>신성텍 사외 부적합 불량현황</t>
    <phoneticPr fontId="1" type="noConversion"/>
  </si>
  <si>
    <t>신성텍 사내 검사 부적합 현황</t>
    <phoneticPr fontId="1" type="noConversion"/>
  </si>
  <si>
    <t>Q310-097918</t>
  </si>
  <si>
    <t>F001718</t>
  </si>
  <si>
    <t>D104-60448A-R002-MF-02-R02</t>
  </si>
  <si>
    <t>SF000707-2602-0101,0201</t>
  </si>
  <si>
    <t>D107-42275A-R00-MF-01</t>
  </si>
  <si>
    <t>D107-42276B-R00-MF-01</t>
  </si>
  <si>
    <t>D107-42347A-R00-MF-01</t>
  </si>
  <si>
    <t>F000730A04</t>
  </si>
  <si>
    <t>S003849A01</t>
  </si>
  <si>
    <t>S003847A01</t>
  </si>
  <si>
    <t>S003843A01</t>
  </si>
  <si>
    <t>S003842B01</t>
  </si>
  <si>
    <t>S003842A01</t>
  </si>
  <si>
    <t>S003844B01</t>
  </si>
  <si>
    <t>S003848A01</t>
  </si>
  <si>
    <t>S002330A01</t>
  </si>
  <si>
    <t>IMDP400966R00-01</t>
  </si>
  <si>
    <t>F003895</t>
  </si>
  <si>
    <t>F002516</t>
  </si>
  <si>
    <t>F000794</t>
  </si>
  <si>
    <t>F000881</t>
  </si>
  <si>
    <t>F000880</t>
  </si>
  <si>
    <t>Q310-172901-01A001</t>
  </si>
  <si>
    <t>Q310-002803-00A001</t>
  </si>
  <si>
    <t>품번</t>
    <phoneticPr fontId="1" type="noConversion"/>
  </si>
  <si>
    <t>PIN</t>
  </si>
  <si>
    <t>TUBE</t>
  </si>
  <si>
    <t>VIEW PORT FLANGE 02</t>
  </si>
  <si>
    <t>DIFFUSER</t>
  </si>
  <si>
    <t>ADAPOTR</t>
  </si>
  <si>
    <t>FLANGE</t>
  </si>
  <si>
    <t>ADAPTOR</t>
  </si>
  <si>
    <t>PLATE-4</t>
  </si>
  <si>
    <t>PLATE</t>
  </si>
  <si>
    <t>BODY</t>
  </si>
  <si>
    <t>MIDDLE HOUSING</t>
  </si>
  <si>
    <t>HOUSING</t>
  </si>
  <si>
    <t>CAP</t>
  </si>
  <si>
    <t>SCREW</t>
  </si>
  <si>
    <t>F003845</t>
  </si>
  <si>
    <t>F004165</t>
  </si>
  <si>
    <t>ELECTRODE</t>
  </si>
  <si>
    <t>F002818</t>
  </si>
  <si>
    <t>F003010</t>
  </si>
  <si>
    <t>품번</t>
    <phoneticPr fontId="1" type="noConversion"/>
  </si>
  <si>
    <t>조치내용</t>
    <phoneticPr fontId="1" type="noConversion"/>
  </si>
  <si>
    <t>특이사항</t>
    <phoneticPr fontId="1" type="noConversion"/>
  </si>
  <si>
    <t>수정불가능한 불량으로 125개폐기</t>
    <phoneticPr fontId="1" type="noConversion"/>
  </si>
  <si>
    <t>91개 폐기</t>
    <phoneticPr fontId="1" type="noConversion"/>
  </si>
  <si>
    <t>TC얼룩 전량 발생 유리세정제로 전량 제거하면서 작업</t>
    <phoneticPr fontId="12" type="noConversion"/>
  </si>
  <si>
    <t>수정불가능한 불량으로 1개폐기</t>
    <phoneticPr fontId="1" type="noConversion"/>
  </si>
  <si>
    <t>2개 재고</t>
    <phoneticPr fontId="12" type="noConversion"/>
  </si>
  <si>
    <t>각인면 찍힘으로 수정불가하여 폐기</t>
    <phoneticPr fontId="12" type="noConversion"/>
  </si>
  <si>
    <t>수정불가능한 불량으로 1개폐기</t>
    <phoneticPr fontId="12" type="noConversion"/>
  </si>
  <si>
    <t>수정불가능한 불량으로 8개폐기</t>
    <phoneticPr fontId="12" type="noConversion"/>
  </si>
  <si>
    <t>8개 양품 재고</t>
    <phoneticPr fontId="12" type="noConversion"/>
  </si>
  <si>
    <t>찍힘불량으로 별도 보관</t>
    <phoneticPr fontId="12" type="noConversion"/>
  </si>
  <si>
    <t>생산부에서 수정후 재판정 진행 예정</t>
    <phoneticPr fontId="12" type="noConversion"/>
  </si>
  <si>
    <t>22 ± 0.1 &gt;&gt; 20.89 미달 측정</t>
    <phoneticPr fontId="12" type="noConversion"/>
  </si>
  <si>
    <t>깊이초과 불량 1.5 ± 0.05 &gt;&gt; 2.06</t>
    <phoneticPr fontId="12" type="noConversion"/>
  </si>
  <si>
    <t>재고품에서 1EA 발생</t>
    <phoneticPr fontId="12" type="noConversion"/>
  </si>
  <si>
    <t>스크래치 불량으로 별도 보관</t>
    <phoneticPr fontId="12" type="noConversion"/>
  </si>
  <si>
    <t>스크레치 수정후 재판정 예정</t>
    <phoneticPr fontId="12" type="noConversion"/>
  </si>
  <si>
    <t>상단부 스크레치 발생 재작업 대기</t>
    <phoneticPr fontId="12" type="noConversion"/>
  </si>
  <si>
    <t>재작업 후 재판정 예정</t>
    <phoneticPr fontId="12" type="noConversion"/>
  </si>
  <si>
    <t>측면부 스크레치 발생</t>
    <phoneticPr fontId="12" type="noConversion"/>
  </si>
  <si>
    <t>수정불가능한 불량으로 21개폐기</t>
    <phoneticPr fontId="12" type="noConversion"/>
  </si>
  <si>
    <t>탭위치 5.2 &gt; 5.28 및 면취각도 90도 &gt; 91.5 불량발생하여 수정 및 특채 진행</t>
    <phoneticPr fontId="12" type="noConversion"/>
  </si>
  <si>
    <t>연마툴 사용으로 면취 각도 불량 발생, 탭위치는 면 재작업 후 양품 판정</t>
    <phoneticPr fontId="12" type="noConversion"/>
  </si>
  <si>
    <t>수정불가능한 불량으로 32개 폐기</t>
    <phoneticPr fontId="12" type="noConversion"/>
  </si>
  <si>
    <t>도금 벗겨짐으로 별도 보관</t>
    <phoneticPr fontId="12" type="noConversion"/>
  </si>
  <si>
    <t>수정불가능한 불량으로 107개 폐기</t>
    <phoneticPr fontId="12" type="noConversion"/>
  </si>
  <si>
    <t>9.9mm 두께치수 SPEC OVER, 칩눌림자국, 찍힘, SCRATCH 등</t>
    <phoneticPr fontId="12" type="noConversion"/>
  </si>
  <si>
    <t>수정불가능한 불량으로 160개 폐기</t>
    <phoneticPr fontId="12" type="noConversion"/>
  </si>
  <si>
    <t>수정가능 QC별도 보관</t>
    <phoneticPr fontId="12" type="noConversion"/>
  </si>
  <si>
    <t xml:space="preserve">조치 내용 및 특이사항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</si>
</sst>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_);[Red]\(0\)"/>
    <numFmt numFmtId="177" formatCode="0.0%"/>
  </numFmts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6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0" fillId="4" borderId="0" applyNumberFormat="0" applyBorder="0" applyAlignment="0" applyProtection="0">
      <alignment vertical="center"/>
    </xf>
    <xf numFmtId="0" fontId="9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 wrapText="1"/>
    </xf>
    <xf numFmtId="176" fontId="0" fillId="0" borderId="3" xfId="0" applyNumberFormat="1" applyBorder="1" applyAlignment="1">
      <alignment horizontal="center"/>
    </xf>
    <xf numFmtId="9" fontId="8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5" fillId="0" borderId="0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9" fillId="0" borderId="3" xfId="2" applyBorder="1" applyAlignment="1">
      <alignment horizontal="center" vertical="center"/>
    </xf>
    <xf numFmtId="0" fontId="9" fillId="0" borderId="3" xfId="2" applyBorder="1" applyAlignment="1">
      <alignment horizontal="left" vertical="center"/>
    </xf>
    <xf numFmtId="0" fontId="9" fillId="0" borderId="3" xfId="2" applyBorder="1">
      <alignment vertical="center"/>
    </xf>
    <xf numFmtId="0" fontId="9" fillId="0" borderId="3" xfId="2" applyFont="1" applyBorder="1">
      <alignment vertical="center"/>
    </xf>
    <xf numFmtId="0" fontId="9" fillId="0" borderId="3" xfId="2" applyFont="1" applyBorder="1" applyAlignment="1">
      <alignment horizontal="left" vertical="center"/>
    </xf>
    <xf numFmtId="0" fontId="9" fillId="0" borderId="0" xfId="2" applyAlignment="1">
      <alignment horizontal="center" vertical="center"/>
    </xf>
    <xf numFmtId="0" fontId="9" fillId="0" borderId="0" xfId="2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13" fillId="4" borderId="1" xfId="1" applyNumberFormat="1" applyFont="1" applyBorder="1" applyAlignment="1">
      <alignment horizontal="center" vertical="center"/>
    </xf>
  </cellXfs>
  <cellStyles count="3">
    <cellStyle name="좋음" xfId="1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1039695"/>
  <sheetViews>
    <sheetView tabSelected="1" topLeftCell="A13" zoomScaleNormal="100" workbookViewId="0">
      <selection activeCell="F34" sqref="F34"/>
    </sheetView>
  </sheetViews>
  <sheetFormatPr defaultRowHeight="16.5"/>
  <cols>
    <col min="1" max="1" width="3.125" customWidth="1"/>
    <col min="2" max="2" width="11.125" style="14" bestFit="1" customWidth="1"/>
    <col min="3" max="3" width="11.125" style="14" customWidth="1"/>
    <col min="4" max="4" width="25.75" style="2" bestFit="1" customWidth="1"/>
    <col min="5" max="5" width="25.75" style="2" customWidth="1"/>
    <col min="6" max="6" width="12" style="23" bestFit="1" customWidth="1"/>
    <col min="7" max="8" width="16" style="8" bestFit="1" customWidth="1"/>
    <col min="9" max="9" width="16" style="8" customWidth="1"/>
    <col min="10" max="10" width="11.5" style="10" bestFit="1" customWidth="1"/>
    <col min="11" max="11" width="11.5" style="10" customWidth="1"/>
    <col min="12" max="15" width="11.5" style="10" bestFit="1" customWidth="1"/>
    <col min="16" max="16" width="12" style="10" bestFit="1" customWidth="1"/>
    <col min="17" max="17" width="8.5" style="10" bestFit="1" customWidth="1"/>
    <col min="18" max="18" width="72.25" style="31" bestFit="1" customWidth="1"/>
    <col min="19" max="19" width="62" style="32" customWidth="1"/>
  </cols>
  <sheetData>
    <row r="1" spans="2:19">
      <c r="R1"/>
      <c r="S1"/>
    </row>
    <row r="2" spans="2:19" ht="31.5" customHeight="1">
      <c r="B2" s="35" t="s">
        <v>31</v>
      </c>
      <c r="C2" s="35"/>
      <c r="D2" s="35"/>
      <c r="E2" s="35"/>
      <c r="F2" s="35"/>
      <c r="G2" s="35"/>
      <c r="H2" s="35"/>
      <c r="I2" s="15"/>
      <c r="J2" s="34" t="s">
        <v>17</v>
      </c>
      <c r="K2" s="34"/>
      <c r="L2" s="34"/>
      <c r="M2" s="34"/>
      <c r="N2" s="34"/>
      <c r="O2" s="34"/>
      <c r="P2" s="34"/>
      <c r="Q2" s="34"/>
      <c r="R2" s="36" t="s">
        <v>107</v>
      </c>
      <c r="S2" s="36"/>
    </row>
    <row r="3" spans="2:19" s="1" customFormat="1">
      <c r="B3" s="11" t="s">
        <v>2</v>
      </c>
      <c r="C3" s="11" t="s">
        <v>6</v>
      </c>
      <c r="D3" s="16" t="s">
        <v>56</v>
      </c>
      <c r="E3" s="16" t="s">
        <v>20</v>
      </c>
      <c r="F3" s="16" t="s">
        <v>1</v>
      </c>
      <c r="G3" s="5" t="s">
        <v>7</v>
      </c>
      <c r="H3" s="5" t="s">
        <v>8</v>
      </c>
      <c r="I3" s="24" t="s">
        <v>23</v>
      </c>
      <c r="J3" s="10" t="s">
        <v>10</v>
      </c>
      <c r="K3" s="10" t="s">
        <v>9</v>
      </c>
      <c r="L3" s="10" t="s">
        <v>11</v>
      </c>
      <c r="M3" s="10" t="s">
        <v>12</v>
      </c>
      <c r="N3" s="10" t="s">
        <v>13</v>
      </c>
      <c r="O3" s="10" t="s">
        <v>14</v>
      </c>
      <c r="P3" s="10" t="s">
        <v>15</v>
      </c>
      <c r="Q3" s="18" t="s">
        <v>16</v>
      </c>
      <c r="R3" s="26" t="s">
        <v>77</v>
      </c>
      <c r="S3" s="26" t="s">
        <v>78</v>
      </c>
    </row>
    <row r="4" spans="2:19">
      <c r="B4" s="11">
        <v>46027</v>
      </c>
      <c r="C4" s="11" t="s">
        <v>3</v>
      </c>
      <c r="D4" s="16" t="s">
        <v>32</v>
      </c>
      <c r="E4" s="16" t="s">
        <v>57</v>
      </c>
      <c r="F4" s="16">
        <v>540</v>
      </c>
      <c r="G4" s="6">
        <v>665</v>
      </c>
      <c r="H4" s="6">
        <f>SUM(J4:Q4)</f>
        <v>125</v>
      </c>
      <c r="I4" s="25">
        <f>H4/G4</f>
        <v>0.18796992481203006</v>
      </c>
      <c r="J4" s="9">
        <v>125</v>
      </c>
      <c r="K4" s="9"/>
      <c r="L4" s="9"/>
      <c r="M4" s="9"/>
      <c r="N4" s="9"/>
      <c r="O4" s="9"/>
      <c r="P4" s="9"/>
      <c r="Q4" s="9"/>
      <c r="R4" s="28" t="s">
        <v>79</v>
      </c>
      <c r="S4" s="27"/>
    </row>
    <row r="5" spans="2:19">
      <c r="B5" s="11">
        <v>46027</v>
      </c>
      <c r="C5" s="11" t="s">
        <v>4</v>
      </c>
      <c r="D5" s="16" t="s">
        <v>33</v>
      </c>
      <c r="E5" s="16" t="s">
        <v>58</v>
      </c>
      <c r="F5" s="16">
        <v>500</v>
      </c>
      <c r="G5" s="6">
        <v>591</v>
      </c>
      <c r="H5" s="6">
        <f t="shared" ref="H5:H30" si="0">SUM(J5:Q5)</f>
        <v>91</v>
      </c>
      <c r="I5" s="25">
        <f t="shared" ref="I5:I30" si="1">H5/G5</f>
        <v>0.15397631133671744</v>
      </c>
      <c r="J5" s="9">
        <v>91</v>
      </c>
      <c r="K5" s="9"/>
      <c r="L5" s="9"/>
      <c r="M5" s="9"/>
      <c r="N5" s="9"/>
      <c r="O5" s="9"/>
      <c r="P5" s="9"/>
      <c r="Q5" s="9"/>
      <c r="R5" s="28" t="s">
        <v>80</v>
      </c>
      <c r="S5" s="27" t="s">
        <v>81</v>
      </c>
    </row>
    <row r="6" spans="2:19">
      <c r="B6" s="11">
        <v>46028</v>
      </c>
      <c r="C6" s="11" t="s">
        <v>5</v>
      </c>
      <c r="D6" s="16" t="s">
        <v>34</v>
      </c>
      <c r="E6" s="16" t="s">
        <v>59</v>
      </c>
      <c r="F6" s="16">
        <v>3</v>
      </c>
      <c r="G6" s="6">
        <v>6</v>
      </c>
      <c r="H6" s="6">
        <f t="shared" si="0"/>
        <v>1</v>
      </c>
      <c r="I6" s="25">
        <f t="shared" si="1"/>
        <v>0.16666666666666666</v>
      </c>
      <c r="J6" s="9"/>
      <c r="K6" s="9">
        <v>1</v>
      </c>
      <c r="L6" s="9"/>
      <c r="M6" s="9"/>
      <c r="N6" s="9"/>
      <c r="O6" s="9"/>
      <c r="P6" s="9"/>
      <c r="Q6" s="9"/>
      <c r="R6" s="28" t="s">
        <v>82</v>
      </c>
      <c r="S6" s="27" t="s">
        <v>83</v>
      </c>
    </row>
    <row r="7" spans="2:19">
      <c r="B7" s="11">
        <v>46028</v>
      </c>
      <c r="C7" s="11" t="s">
        <v>4</v>
      </c>
      <c r="D7" s="16" t="s">
        <v>35</v>
      </c>
      <c r="E7" s="16" t="s">
        <v>60</v>
      </c>
      <c r="F7" s="16">
        <v>100</v>
      </c>
      <c r="G7" s="6">
        <v>103</v>
      </c>
      <c r="H7" s="6">
        <f t="shared" si="0"/>
        <v>3</v>
      </c>
      <c r="I7" s="25">
        <f t="shared" si="1"/>
        <v>2.9126213592233011E-2</v>
      </c>
      <c r="J7" s="9"/>
      <c r="K7" s="9">
        <v>3</v>
      </c>
      <c r="L7" s="9"/>
      <c r="M7" s="9"/>
      <c r="N7" s="9"/>
      <c r="O7" s="9"/>
      <c r="P7" s="9"/>
      <c r="Q7" s="9"/>
      <c r="R7" s="29" t="s">
        <v>84</v>
      </c>
      <c r="S7" s="27"/>
    </row>
    <row r="8" spans="2:19">
      <c r="B8" s="11">
        <v>46029</v>
      </c>
      <c r="C8" s="11" t="s">
        <v>5</v>
      </c>
      <c r="D8" s="16" t="s">
        <v>36</v>
      </c>
      <c r="E8" s="16" t="s">
        <v>61</v>
      </c>
      <c r="F8" s="16">
        <v>3</v>
      </c>
      <c r="G8" s="6">
        <v>4</v>
      </c>
      <c r="H8" s="6">
        <f t="shared" si="0"/>
        <v>1</v>
      </c>
      <c r="I8" s="25">
        <f t="shared" si="1"/>
        <v>0.25</v>
      </c>
      <c r="J8" s="9">
        <v>1</v>
      </c>
      <c r="K8" s="9"/>
      <c r="L8" s="9"/>
      <c r="M8" s="9"/>
      <c r="N8" s="9"/>
      <c r="O8" s="9"/>
      <c r="P8" s="9"/>
      <c r="Q8" s="9"/>
      <c r="R8" s="29" t="s">
        <v>82</v>
      </c>
      <c r="S8" s="27"/>
    </row>
    <row r="9" spans="2:19">
      <c r="B9" s="11">
        <v>46029</v>
      </c>
      <c r="C9" s="11" t="s">
        <v>5</v>
      </c>
      <c r="D9" s="16" t="s">
        <v>37</v>
      </c>
      <c r="E9" s="16" t="s">
        <v>62</v>
      </c>
      <c r="F9" s="16">
        <v>3</v>
      </c>
      <c r="G9" s="6">
        <v>4</v>
      </c>
      <c r="H9" s="6">
        <f t="shared" si="0"/>
        <v>1</v>
      </c>
      <c r="I9" s="25">
        <f t="shared" si="1"/>
        <v>0.25</v>
      </c>
      <c r="J9" s="9">
        <v>1</v>
      </c>
      <c r="K9" s="9"/>
      <c r="L9" s="9"/>
      <c r="M9" s="9"/>
      <c r="N9" s="9"/>
      <c r="O9" s="9"/>
      <c r="P9" s="9"/>
      <c r="Q9" s="9"/>
      <c r="R9" s="29" t="s">
        <v>85</v>
      </c>
      <c r="S9" s="27"/>
    </row>
    <row r="10" spans="2:19">
      <c r="B10" s="11">
        <v>46029</v>
      </c>
      <c r="C10" s="11" t="s">
        <v>5</v>
      </c>
      <c r="D10" s="16" t="s">
        <v>38</v>
      </c>
      <c r="E10" s="16" t="s">
        <v>63</v>
      </c>
      <c r="F10" s="16">
        <v>3</v>
      </c>
      <c r="G10" s="6">
        <v>4</v>
      </c>
      <c r="H10" s="6">
        <f t="shared" si="0"/>
        <v>1</v>
      </c>
      <c r="I10" s="25">
        <f t="shared" si="1"/>
        <v>0.25</v>
      </c>
      <c r="J10" s="9">
        <v>1</v>
      </c>
      <c r="K10" s="9"/>
      <c r="L10" s="9"/>
      <c r="M10" s="9"/>
      <c r="N10" s="9"/>
      <c r="O10" s="9"/>
      <c r="P10" s="9"/>
      <c r="Q10" s="9"/>
      <c r="R10" s="29" t="s">
        <v>85</v>
      </c>
      <c r="S10" s="27"/>
    </row>
    <row r="11" spans="2:19">
      <c r="B11" s="11">
        <v>46029</v>
      </c>
      <c r="C11" s="11" t="s">
        <v>4</v>
      </c>
      <c r="D11" s="16" t="s">
        <v>39</v>
      </c>
      <c r="E11" s="16" t="s">
        <v>64</v>
      </c>
      <c r="F11" s="16">
        <v>10</v>
      </c>
      <c r="G11" s="6">
        <v>26</v>
      </c>
      <c r="H11" s="6">
        <f t="shared" si="0"/>
        <v>8</v>
      </c>
      <c r="I11" s="25">
        <f t="shared" si="1"/>
        <v>0.30769230769230771</v>
      </c>
      <c r="J11" s="9">
        <v>8</v>
      </c>
      <c r="K11" s="9"/>
      <c r="L11" s="9"/>
      <c r="M11" s="9"/>
      <c r="N11" s="9"/>
      <c r="O11" s="9"/>
      <c r="P11" s="9"/>
      <c r="Q11" s="9"/>
      <c r="R11" s="29" t="s">
        <v>86</v>
      </c>
      <c r="S11" s="30" t="s">
        <v>87</v>
      </c>
    </row>
    <row r="12" spans="2:19">
      <c r="B12" s="11">
        <v>46036</v>
      </c>
      <c r="C12" s="11" t="s">
        <v>4</v>
      </c>
      <c r="D12" s="16" t="s">
        <v>40</v>
      </c>
      <c r="E12" s="16" t="s">
        <v>65</v>
      </c>
      <c r="F12" s="16">
        <v>30</v>
      </c>
      <c r="G12" s="6">
        <v>16</v>
      </c>
      <c r="H12" s="6">
        <f t="shared" si="0"/>
        <v>1</v>
      </c>
      <c r="I12" s="25">
        <f t="shared" si="1"/>
        <v>6.25E-2</v>
      </c>
      <c r="J12" s="9"/>
      <c r="K12" s="9"/>
      <c r="L12" s="9">
        <v>1</v>
      </c>
      <c r="M12" s="9"/>
      <c r="N12" s="9"/>
      <c r="O12" s="9"/>
      <c r="P12" s="9"/>
      <c r="Q12" s="9"/>
      <c r="R12" s="29" t="s">
        <v>85</v>
      </c>
      <c r="S12" s="27"/>
    </row>
    <row r="13" spans="2:19">
      <c r="B13" s="11">
        <v>46036</v>
      </c>
      <c r="C13" s="11" t="s">
        <v>4</v>
      </c>
      <c r="D13" s="16" t="s">
        <v>41</v>
      </c>
      <c r="E13" s="16" t="s">
        <v>66</v>
      </c>
      <c r="F13" s="16">
        <v>30</v>
      </c>
      <c r="G13" s="6">
        <v>24</v>
      </c>
      <c r="H13" s="6">
        <f t="shared" si="0"/>
        <v>1</v>
      </c>
      <c r="I13" s="25">
        <f t="shared" si="1"/>
        <v>4.1666666666666664E-2</v>
      </c>
      <c r="J13" s="9"/>
      <c r="K13" s="9"/>
      <c r="L13" s="9">
        <v>1</v>
      </c>
      <c r="M13" s="9"/>
      <c r="N13" s="9"/>
      <c r="O13" s="9"/>
      <c r="P13" s="9"/>
      <c r="Q13" s="9"/>
      <c r="R13" s="29" t="s">
        <v>85</v>
      </c>
      <c r="S13" s="27"/>
    </row>
    <row r="14" spans="2:19">
      <c r="B14" s="11">
        <v>46036</v>
      </c>
      <c r="C14" s="11" t="s">
        <v>4</v>
      </c>
      <c r="D14" s="16" t="s">
        <v>41</v>
      </c>
      <c r="E14" s="16" t="s">
        <v>66</v>
      </c>
      <c r="F14" s="16">
        <v>30</v>
      </c>
      <c r="G14" s="6">
        <v>24</v>
      </c>
      <c r="H14" s="6">
        <f t="shared" si="0"/>
        <v>2</v>
      </c>
      <c r="I14" s="25">
        <f t="shared" si="1"/>
        <v>8.3333333333333329E-2</v>
      </c>
      <c r="J14" s="9">
        <v>2</v>
      </c>
      <c r="K14" s="9"/>
      <c r="L14" s="9"/>
      <c r="M14" s="9"/>
      <c r="N14" s="9"/>
      <c r="O14" s="9"/>
      <c r="P14" s="9"/>
      <c r="Q14" s="9"/>
      <c r="R14" s="29" t="s">
        <v>88</v>
      </c>
      <c r="S14" s="30" t="s">
        <v>89</v>
      </c>
    </row>
    <row r="15" spans="2:19">
      <c r="B15" s="11">
        <v>46037</v>
      </c>
      <c r="C15" s="11" t="s">
        <v>4</v>
      </c>
      <c r="D15" s="16" t="s">
        <v>42</v>
      </c>
      <c r="E15" s="16" t="s">
        <v>66</v>
      </c>
      <c r="F15" s="16">
        <v>30</v>
      </c>
      <c r="G15" s="6">
        <v>8</v>
      </c>
      <c r="H15" s="6">
        <f t="shared" si="0"/>
        <v>1</v>
      </c>
      <c r="I15" s="25">
        <f t="shared" si="1"/>
        <v>0.125</v>
      </c>
      <c r="J15" s="9"/>
      <c r="K15" s="9"/>
      <c r="L15" s="9">
        <v>1</v>
      </c>
      <c r="M15" s="9"/>
      <c r="N15" s="9"/>
      <c r="O15" s="9"/>
      <c r="P15" s="9"/>
      <c r="Q15" s="9"/>
      <c r="R15" s="29" t="s">
        <v>85</v>
      </c>
      <c r="S15" s="30" t="s">
        <v>90</v>
      </c>
    </row>
    <row r="16" spans="2:19">
      <c r="B16" s="11">
        <v>46037</v>
      </c>
      <c r="C16" s="11" t="s">
        <v>4</v>
      </c>
      <c r="D16" s="16" t="s">
        <v>43</v>
      </c>
      <c r="E16" s="16" t="s">
        <v>67</v>
      </c>
      <c r="F16" s="16">
        <v>30</v>
      </c>
      <c r="G16" s="6">
        <v>39</v>
      </c>
      <c r="H16" s="6">
        <f t="shared" si="0"/>
        <v>1</v>
      </c>
      <c r="I16" s="25">
        <f t="shared" si="1"/>
        <v>2.564102564102564E-2</v>
      </c>
      <c r="J16" s="9"/>
      <c r="K16" s="9"/>
      <c r="L16" s="9">
        <v>1</v>
      </c>
      <c r="M16" s="9"/>
      <c r="N16" s="9"/>
      <c r="O16" s="9"/>
      <c r="P16" s="9"/>
      <c r="Q16" s="9"/>
      <c r="R16" s="29" t="s">
        <v>85</v>
      </c>
      <c r="S16" s="30" t="s">
        <v>91</v>
      </c>
    </row>
    <row r="17" spans="2:19">
      <c r="B17" s="11">
        <v>46037</v>
      </c>
      <c r="C17" s="11" t="s">
        <v>4</v>
      </c>
      <c r="D17" s="16" t="s">
        <v>41</v>
      </c>
      <c r="E17" s="16" t="s">
        <v>66</v>
      </c>
      <c r="F17" s="16">
        <v>30</v>
      </c>
      <c r="G17" s="6">
        <v>23</v>
      </c>
      <c r="H17" s="6">
        <f t="shared" si="0"/>
        <v>6</v>
      </c>
      <c r="I17" s="25">
        <f t="shared" si="1"/>
        <v>0.2608695652173913</v>
      </c>
      <c r="J17" s="9"/>
      <c r="K17" s="9">
        <v>5</v>
      </c>
      <c r="L17" s="9"/>
      <c r="M17" s="9"/>
      <c r="N17" s="9">
        <v>1</v>
      </c>
      <c r="O17" s="9"/>
      <c r="P17" s="9"/>
      <c r="Q17" s="9"/>
      <c r="R17" s="29" t="s">
        <v>85</v>
      </c>
      <c r="S17" s="30" t="s">
        <v>92</v>
      </c>
    </row>
    <row r="18" spans="2:19">
      <c r="B18" s="11">
        <v>46037</v>
      </c>
      <c r="C18" s="11" t="s">
        <v>4</v>
      </c>
      <c r="D18" s="16" t="s">
        <v>44</v>
      </c>
      <c r="E18" s="16" t="s">
        <v>66</v>
      </c>
      <c r="F18" s="16">
        <v>30</v>
      </c>
      <c r="G18" s="6">
        <v>23</v>
      </c>
      <c r="H18" s="6">
        <f t="shared" si="0"/>
        <v>1</v>
      </c>
      <c r="I18" s="25">
        <f t="shared" si="1"/>
        <v>4.3478260869565216E-2</v>
      </c>
      <c r="J18" s="9"/>
      <c r="K18" s="9">
        <v>1</v>
      </c>
      <c r="L18" s="9"/>
      <c r="M18" s="9"/>
      <c r="N18" s="9"/>
      <c r="O18" s="9"/>
      <c r="P18" s="9"/>
      <c r="Q18" s="9"/>
      <c r="R18" s="29" t="s">
        <v>88</v>
      </c>
      <c r="S18" s="30" t="s">
        <v>89</v>
      </c>
    </row>
    <row r="19" spans="2:19">
      <c r="B19" s="11">
        <v>46037</v>
      </c>
      <c r="C19" s="11" t="s">
        <v>4</v>
      </c>
      <c r="D19" s="16" t="s">
        <v>45</v>
      </c>
      <c r="E19" s="16" t="s">
        <v>68</v>
      </c>
      <c r="F19" s="16">
        <v>30</v>
      </c>
      <c r="G19" s="6">
        <v>27</v>
      </c>
      <c r="H19" s="6">
        <f t="shared" si="0"/>
        <v>1</v>
      </c>
      <c r="I19" s="25">
        <f t="shared" si="1"/>
        <v>3.7037037037037035E-2</v>
      </c>
      <c r="J19" s="9">
        <v>1</v>
      </c>
      <c r="K19" s="9"/>
      <c r="L19" s="9"/>
      <c r="M19" s="9"/>
      <c r="N19" s="9"/>
      <c r="O19" s="9"/>
      <c r="P19" s="9"/>
      <c r="Q19" s="9"/>
      <c r="R19" s="29" t="s">
        <v>85</v>
      </c>
      <c r="S19" s="30" t="s">
        <v>91</v>
      </c>
    </row>
    <row r="20" spans="2:19">
      <c r="B20" s="11">
        <v>46037</v>
      </c>
      <c r="C20" s="11" t="s">
        <v>4</v>
      </c>
      <c r="D20" s="16" t="s">
        <v>46</v>
      </c>
      <c r="E20" s="16" t="s">
        <v>66</v>
      </c>
      <c r="F20" s="16">
        <v>30</v>
      </c>
      <c r="G20" s="6">
        <v>13</v>
      </c>
      <c r="H20" s="6">
        <f t="shared" si="0"/>
        <v>1</v>
      </c>
      <c r="I20" s="25">
        <f t="shared" si="1"/>
        <v>7.6923076923076927E-2</v>
      </c>
      <c r="J20" s="9">
        <v>1</v>
      </c>
      <c r="K20" s="9"/>
      <c r="L20" s="9"/>
      <c r="M20" s="9"/>
      <c r="N20" s="9"/>
      <c r="O20" s="9"/>
      <c r="P20" s="9"/>
      <c r="Q20" s="9"/>
      <c r="R20" s="29" t="s">
        <v>93</v>
      </c>
      <c r="S20" s="30" t="s">
        <v>94</v>
      </c>
    </row>
    <row r="21" spans="2:19">
      <c r="B21" s="11">
        <v>46037</v>
      </c>
      <c r="C21" s="11" t="s">
        <v>4</v>
      </c>
      <c r="D21" s="16" t="s">
        <v>47</v>
      </c>
      <c r="E21" s="16" t="s">
        <v>65</v>
      </c>
      <c r="F21" s="16">
        <v>100</v>
      </c>
      <c r="G21" s="6">
        <v>85</v>
      </c>
      <c r="H21" s="6">
        <f t="shared" si="0"/>
        <v>25</v>
      </c>
      <c r="I21" s="25">
        <f t="shared" si="1"/>
        <v>0.29411764705882354</v>
      </c>
      <c r="J21" s="9">
        <v>25</v>
      </c>
      <c r="K21" s="9"/>
      <c r="L21" s="9"/>
      <c r="M21" s="9"/>
      <c r="N21" s="9"/>
      <c r="O21" s="9"/>
      <c r="P21" s="9"/>
      <c r="Q21" s="9"/>
      <c r="R21" s="29" t="s">
        <v>95</v>
      </c>
      <c r="S21" s="30" t="s">
        <v>96</v>
      </c>
    </row>
    <row r="22" spans="2:19">
      <c r="B22" s="11">
        <v>46042</v>
      </c>
      <c r="C22" s="11" t="s">
        <v>4</v>
      </c>
      <c r="D22" s="16" t="s">
        <v>41</v>
      </c>
      <c r="E22" s="16" t="s">
        <v>66</v>
      </c>
      <c r="F22" s="16">
        <v>30</v>
      </c>
      <c r="G22" s="6">
        <v>30</v>
      </c>
      <c r="H22" s="6">
        <f t="shared" si="0"/>
        <v>5</v>
      </c>
      <c r="I22" s="25">
        <f t="shared" si="1"/>
        <v>0.16666666666666666</v>
      </c>
      <c r="J22" s="9">
        <v>5</v>
      </c>
      <c r="K22" s="9"/>
      <c r="L22" s="9"/>
      <c r="M22" s="9"/>
      <c r="N22" s="9"/>
      <c r="O22" s="9"/>
      <c r="P22" s="9"/>
      <c r="Q22" s="9"/>
      <c r="R22" s="29" t="s">
        <v>97</v>
      </c>
      <c r="S22" s="30" t="s">
        <v>96</v>
      </c>
    </row>
    <row r="23" spans="2:19">
      <c r="B23" s="11">
        <v>46042</v>
      </c>
      <c r="C23" s="11" t="s">
        <v>3</v>
      </c>
      <c r="D23" s="16" t="s">
        <v>48</v>
      </c>
      <c r="E23" s="16" t="s">
        <v>69</v>
      </c>
      <c r="F23" s="16">
        <v>264</v>
      </c>
      <c r="G23" s="6">
        <v>530</v>
      </c>
      <c r="H23" s="6">
        <f t="shared" si="0"/>
        <v>21</v>
      </c>
      <c r="I23" s="25">
        <f t="shared" si="1"/>
        <v>3.962264150943396E-2</v>
      </c>
      <c r="J23" s="9"/>
      <c r="K23" s="9"/>
      <c r="L23" s="9"/>
      <c r="M23" s="9"/>
      <c r="N23" s="9">
        <v>21</v>
      </c>
      <c r="O23" s="9"/>
      <c r="P23" s="9"/>
      <c r="Q23" s="9"/>
      <c r="R23" s="29" t="s">
        <v>98</v>
      </c>
      <c r="S23" s="27"/>
    </row>
    <row r="24" spans="2:19">
      <c r="B24" s="11">
        <v>46044</v>
      </c>
      <c r="C24" s="11" t="s">
        <v>4</v>
      </c>
      <c r="D24" s="16" t="s">
        <v>49</v>
      </c>
      <c r="E24" s="16" t="s">
        <v>65</v>
      </c>
      <c r="F24" s="16">
        <v>2</v>
      </c>
      <c r="G24" s="6">
        <v>2</v>
      </c>
      <c r="H24" s="6">
        <f t="shared" si="0"/>
        <v>2</v>
      </c>
      <c r="I24" s="25">
        <f t="shared" si="1"/>
        <v>1</v>
      </c>
      <c r="J24" s="9"/>
      <c r="K24" s="9"/>
      <c r="L24" s="9">
        <v>2</v>
      </c>
      <c r="M24" s="9"/>
      <c r="N24" s="9"/>
      <c r="O24" s="9"/>
      <c r="P24" s="9"/>
      <c r="Q24" s="9"/>
      <c r="R24" s="30" t="s">
        <v>99</v>
      </c>
      <c r="S24" s="30" t="s">
        <v>100</v>
      </c>
    </row>
    <row r="25" spans="2:19">
      <c r="B25" s="11">
        <v>46051</v>
      </c>
      <c r="C25" s="11" t="s">
        <v>4</v>
      </c>
      <c r="D25" s="16" t="s">
        <v>50</v>
      </c>
      <c r="E25" s="16" t="s">
        <v>70</v>
      </c>
      <c r="F25" s="16">
        <v>500</v>
      </c>
      <c r="G25" s="6">
        <v>532</v>
      </c>
      <c r="H25" s="6">
        <f t="shared" si="0"/>
        <v>32</v>
      </c>
      <c r="I25" s="25">
        <f t="shared" si="1"/>
        <v>6.0150375939849621E-2</v>
      </c>
      <c r="J25" s="9"/>
      <c r="K25" s="9"/>
      <c r="L25" s="9"/>
      <c r="M25" s="9"/>
      <c r="N25" s="9"/>
      <c r="O25" s="9">
        <v>32</v>
      </c>
      <c r="P25" s="9"/>
      <c r="Q25" s="9"/>
      <c r="R25" s="29" t="s">
        <v>101</v>
      </c>
      <c r="S25" s="27"/>
    </row>
    <row r="26" spans="2:19">
      <c r="B26" s="11">
        <v>46051</v>
      </c>
      <c r="C26" s="11" t="s">
        <v>4</v>
      </c>
      <c r="D26" s="16" t="s">
        <v>51</v>
      </c>
      <c r="E26" s="16" t="s">
        <v>57</v>
      </c>
      <c r="F26" s="16">
        <v>200</v>
      </c>
      <c r="G26" s="6">
        <v>206</v>
      </c>
      <c r="H26" s="6">
        <f t="shared" si="0"/>
        <v>6</v>
      </c>
      <c r="I26" s="25">
        <f t="shared" si="1"/>
        <v>2.9126213592233011E-2</v>
      </c>
      <c r="J26" s="9"/>
      <c r="K26" s="9"/>
      <c r="L26" s="9"/>
      <c r="M26" s="9"/>
      <c r="N26" s="9"/>
      <c r="O26" s="9"/>
      <c r="P26" s="9">
        <v>6</v>
      </c>
      <c r="Q26" s="9"/>
      <c r="R26" s="29" t="s">
        <v>102</v>
      </c>
      <c r="S26" s="27"/>
    </row>
    <row r="27" spans="2:19">
      <c r="B27" s="11">
        <v>46062</v>
      </c>
      <c r="C27" s="11" t="s">
        <v>4</v>
      </c>
      <c r="D27" s="16" t="s">
        <v>52</v>
      </c>
      <c r="E27" s="16" t="s">
        <v>60</v>
      </c>
      <c r="F27" s="16">
        <v>600</v>
      </c>
      <c r="G27" s="6">
        <v>707</v>
      </c>
      <c r="H27" s="6">
        <f t="shared" si="0"/>
        <v>107</v>
      </c>
      <c r="I27" s="25">
        <f t="shared" si="1"/>
        <v>0.15134370579915135</v>
      </c>
      <c r="J27" s="9">
        <v>107</v>
      </c>
      <c r="K27" s="9"/>
      <c r="L27" s="9"/>
      <c r="M27" s="9"/>
      <c r="N27" s="9"/>
      <c r="O27" s="9"/>
      <c r="P27" s="9"/>
      <c r="Q27" s="9"/>
      <c r="R27" s="30" t="s">
        <v>103</v>
      </c>
      <c r="S27" s="30" t="s">
        <v>104</v>
      </c>
    </row>
    <row r="28" spans="2:19">
      <c r="B28" s="11">
        <v>46063</v>
      </c>
      <c r="C28" s="11" t="s">
        <v>4</v>
      </c>
      <c r="D28" s="16" t="s">
        <v>53</v>
      </c>
      <c r="E28" s="16" t="s">
        <v>58</v>
      </c>
      <c r="F28" s="16">
        <v>600</v>
      </c>
      <c r="G28" s="6">
        <v>760</v>
      </c>
      <c r="H28" s="6">
        <f t="shared" si="0"/>
        <v>160</v>
      </c>
      <c r="I28" s="25">
        <f t="shared" si="1"/>
        <v>0.21052631578947367</v>
      </c>
      <c r="J28" s="9">
        <v>160</v>
      </c>
      <c r="K28" s="9"/>
      <c r="L28" s="9"/>
      <c r="M28" s="9"/>
      <c r="N28" s="9"/>
      <c r="O28" s="9"/>
      <c r="P28" s="9"/>
      <c r="Q28" s="9"/>
      <c r="R28" s="30" t="s">
        <v>105</v>
      </c>
      <c r="S28" s="27" t="s">
        <v>81</v>
      </c>
    </row>
    <row r="29" spans="2:19">
      <c r="B29" s="11">
        <v>46063</v>
      </c>
      <c r="C29" s="11" t="s">
        <v>3</v>
      </c>
      <c r="D29" s="22" t="s">
        <v>54</v>
      </c>
      <c r="E29" s="22" t="s">
        <v>70</v>
      </c>
      <c r="F29" s="22">
        <v>48</v>
      </c>
      <c r="G29" s="7">
        <v>43</v>
      </c>
      <c r="H29" s="6">
        <f t="shared" si="0"/>
        <v>2</v>
      </c>
      <c r="I29" s="25">
        <f t="shared" si="1"/>
        <v>4.6511627906976744E-2</v>
      </c>
      <c r="J29" s="9">
        <v>2</v>
      </c>
      <c r="K29" s="9"/>
      <c r="L29" s="9"/>
      <c r="M29" s="9"/>
      <c r="N29" s="9"/>
      <c r="O29" s="9"/>
      <c r="P29" s="9"/>
      <c r="Q29" s="9"/>
      <c r="R29" s="30" t="s">
        <v>106</v>
      </c>
      <c r="S29" s="27"/>
    </row>
    <row r="30" spans="2:19">
      <c r="B30" s="11">
        <v>46063</v>
      </c>
      <c r="C30" s="11" t="s">
        <v>3</v>
      </c>
      <c r="D30" s="22" t="s">
        <v>55</v>
      </c>
      <c r="E30" s="22" t="s">
        <v>70</v>
      </c>
      <c r="F30" s="22">
        <v>300</v>
      </c>
      <c r="G30" s="7">
        <v>320</v>
      </c>
      <c r="H30" s="6">
        <f t="shared" si="0"/>
        <v>7</v>
      </c>
      <c r="I30" s="25">
        <f t="shared" si="1"/>
        <v>2.1874999999999999E-2</v>
      </c>
      <c r="J30" s="9">
        <v>7</v>
      </c>
      <c r="K30" s="9"/>
      <c r="L30" s="9"/>
      <c r="M30" s="9"/>
      <c r="N30" s="9"/>
      <c r="O30" s="9"/>
      <c r="P30" s="9"/>
      <c r="Q30" s="9"/>
      <c r="R30" s="30" t="s">
        <v>106</v>
      </c>
      <c r="S30" s="27"/>
    </row>
    <row r="62655" spans="2:3">
      <c r="B62655" s="12"/>
      <c r="C62655" s="12"/>
    </row>
    <row r="1027651" spans="2:3">
      <c r="B1027651" s="13"/>
      <c r="C1027651" s="17"/>
    </row>
    <row r="1039695" spans="2:3">
      <c r="B1039695" s="13"/>
      <c r="C1039695" s="17"/>
    </row>
  </sheetData>
  <autoFilter ref="B3:Q30"/>
  <mergeCells count="3">
    <mergeCell ref="J2:Q2"/>
    <mergeCell ref="B2:H2"/>
    <mergeCell ref="R2:S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39942"/>
  <sheetViews>
    <sheetView zoomScaleNormal="100" workbookViewId="0">
      <selection activeCell="A9" sqref="A9:XFD9"/>
    </sheetView>
  </sheetViews>
  <sheetFormatPr defaultRowHeight="16.5"/>
  <cols>
    <col min="1" max="1" width="3.125" customWidth="1"/>
    <col min="2" max="2" width="15.125" style="14" bestFit="1" customWidth="1"/>
    <col min="3" max="3" width="11.125" style="14" customWidth="1"/>
    <col min="4" max="4" width="8.75" style="23" bestFit="1" customWidth="1"/>
    <col min="5" max="5" width="10.125" style="23" bestFit="1" customWidth="1"/>
    <col min="6" max="6" width="12" style="2" bestFit="1" customWidth="1"/>
    <col min="7" max="7" width="15.125" style="8" bestFit="1" customWidth="1"/>
    <col min="8" max="8" width="15.125" style="8" customWidth="1"/>
    <col min="9" max="9" width="9.625" style="10" bestFit="1" customWidth="1"/>
    <col min="10" max="11" width="12" style="10" bestFit="1" customWidth="1"/>
    <col min="12" max="12" width="12.375" style="10" bestFit="1" customWidth="1"/>
    <col min="13" max="13" width="12" style="10" bestFit="1" customWidth="1"/>
    <col min="14" max="14" width="12.625" style="10" bestFit="1" customWidth="1"/>
    <col min="15" max="15" width="8.25" style="10" bestFit="1" customWidth="1"/>
  </cols>
  <sheetData>
    <row r="2" spans="2:15" ht="31.5" customHeight="1">
      <c r="B2" s="35" t="s">
        <v>30</v>
      </c>
      <c r="C2" s="35"/>
      <c r="D2" s="35"/>
      <c r="E2" s="35"/>
      <c r="F2" s="35"/>
      <c r="G2" s="35"/>
      <c r="H2" s="15"/>
      <c r="I2" s="34" t="s">
        <v>17</v>
      </c>
      <c r="J2" s="34"/>
      <c r="K2" s="34"/>
      <c r="L2" s="34"/>
      <c r="M2" s="34"/>
      <c r="N2" s="34"/>
      <c r="O2" s="34"/>
    </row>
    <row r="3" spans="2:15" s="1" customFormat="1">
      <c r="B3" s="11" t="s">
        <v>19</v>
      </c>
      <c r="C3" s="11" t="s">
        <v>6</v>
      </c>
      <c r="D3" s="11" t="s">
        <v>76</v>
      </c>
      <c r="E3" s="11" t="s">
        <v>0</v>
      </c>
      <c r="F3" s="11" t="s">
        <v>21</v>
      </c>
      <c r="G3" s="11" t="s">
        <v>22</v>
      </c>
      <c r="H3" s="11" t="s">
        <v>23</v>
      </c>
      <c r="I3" s="11" t="s">
        <v>24</v>
      </c>
      <c r="J3" s="11" t="s">
        <v>25</v>
      </c>
      <c r="K3" s="11" t="s">
        <v>26</v>
      </c>
      <c r="L3" s="11" t="s">
        <v>27</v>
      </c>
      <c r="M3" s="11" t="s">
        <v>28</v>
      </c>
      <c r="N3" s="11" t="s">
        <v>29</v>
      </c>
      <c r="O3" s="11" t="s">
        <v>16</v>
      </c>
    </row>
    <row r="4" spans="2:15">
      <c r="B4" s="19">
        <v>46027</v>
      </c>
      <c r="C4" s="11" t="s">
        <v>18</v>
      </c>
      <c r="D4" s="33" t="s">
        <v>71</v>
      </c>
      <c r="E4" s="33" t="s">
        <v>66</v>
      </c>
      <c r="F4" s="20">
        <v>10</v>
      </c>
      <c r="G4" s="20">
        <v>1</v>
      </c>
      <c r="H4" s="21">
        <f t="shared" ref="H4:H8" si="0">G4/F4</f>
        <v>0.1</v>
      </c>
      <c r="I4" s="9"/>
      <c r="J4" s="9">
        <v>1</v>
      </c>
      <c r="K4" s="9"/>
      <c r="L4" s="9"/>
      <c r="M4" s="9"/>
      <c r="N4" s="9"/>
      <c r="O4" s="9"/>
    </row>
    <row r="5" spans="2:15">
      <c r="B5" s="19">
        <v>46037</v>
      </c>
      <c r="C5" s="11" t="s">
        <v>18</v>
      </c>
      <c r="D5" s="33" t="s">
        <v>72</v>
      </c>
      <c r="E5" s="33" t="s">
        <v>65</v>
      </c>
      <c r="F5" s="20">
        <v>6</v>
      </c>
      <c r="G5" s="20">
        <v>1</v>
      </c>
      <c r="H5" s="21">
        <f t="shared" si="0"/>
        <v>0.16666666666666666</v>
      </c>
      <c r="I5" s="9"/>
      <c r="J5" s="9">
        <v>1</v>
      </c>
      <c r="K5" s="9"/>
      <c r="L5" s="9"/>
      <c r="M5" s="9"/>
      <c r="N5" s="9"/>
      <c r="O5" s="9"/>
    </row>
    <row r="6" spans="2:15">
      <c r="B6" s="19">
        <v>46042</v>
      </c>
      <c r="C6" s="11" t="s">
        <v>18</v>
      </c>
      <c r="D6" s="33" t="s">
        <v>74</v>
      </c>
      <c r="E6" s="33" t="s">
        <v>73</v>
      </c>
      <c r="F6" s="20">
        <v>100</v>
      </c>
      <c r="G6" s="20">
        <v>100</v>
      </c>
      <c r="H6" s="21">
        <f t="shared" si="0"/>
        <v>1</v>
      </c>
      <c r="I6" s="9">
        <v>100</v>
      </c>
      <c r="J6" s="9"/>
      <c r="K6" s="9"/>
      <c r="L6" s="9"/>
      <c r="M6" s="9"/>
      <c r="N6" s="9"/>
      <c r="O6" s="9"/>
    </row>
    <row r="7" spans="2:15">
      <c r="B7" s="19">
        <v>46051</v>
      </c>
      <c r="C7" s="11" t="s">
        <v>18</v>
      </c>
      <c r="D7" s="33" t="s">
        <v>49</v>
      </c>
      <c r="E7" s="33" t="s">
        <v>65</v>
      </c>
      <c r="F7" s="20">
        <v>2</v>
      </c>
      <c r="G7" s="20">
        <v>2</v>
      </c>
      <c r="H7" s="21">
        <f t="shared" si="0"/>
        <v>1</v>
      </c>
      <c r="I7" s="9">
        <v>2</v>
      </c>
      <c r="J7" s="9"/>
      <c r="K7" s="9"/>
      <c r="L7" s="9"/>
      <c r="M7" s="9"/>
      <c r="N7" s="9"/>
      <c r="O7" s="9"/>
    </row>
    <row r="8" spans="2:15">
      <c r="B8" s="19">
        <v>46051</v>
      </c>
      <c r="C8" s="11" t="s">
        <v>18</v>
      </c>
      <c r="D8" s="33" t="s">
        <v>75</v>
      </c>
      <c r="E8" s="33" t="s">
        <v>65</v>
      </c>
      <c r="F8" s="20">
        <v>6</v>
      </c>
      <c r="G8" s="20">
        <v>1</v>
      </c>
      <c r="H8" s="21">
        <f t="shared" si="0"/>
        <v>0.16666666666666666</v>
      </c>
      <c r="I8" s="9">
        <v>1</v>
      </c>
      <c r="J8" s="9"/>
      <c r="K8" s="9"/>
      <c r="L8" s="9"/>
      <c r="M8" s="9"/>
      <c r="N8" s="9"/>
      <c r="O8" s="9"/>
    </row>
    <row r="9" spans="2:15">
      <c r="B9" s="11"/>
      <c r="C9" s="11"/>
      <c r="D9" s="16"/>
      <c r="E9" s="16"/>
      <c r="F9" s="3"/>
      <c r="G9" s="6"/>
      <c r="H9" s="6"/>
      <c r="I9" s="9"/>
      <c r="J9" s="9"/>
      <c r="K9" s="9"/>
      <c r="L9" s="9"/>
      <c r="M9" s="9"/>
      <c r="N9" s="9"/>
      <c r="O9" s="9"/>
    </row>
    <row r="10" spans="2:15">
      <c r="B10" s="11"/>
      <c r="C10" s="11"/>
      <c r="D10" s="16"/>
      <c r="E10" s="16"/>
      <c r="F10" s="3"/>
      <c r="G10" s="6"/>
      <c r="H10" s="6"/>
      <c r="I10" s="9"/>
      <c r="J10" s="9"/>
      <c r="K10" s="9"/>
      <c r="L10" s="9"/>
      <c r="M10" s="9"/>
      <c r="N10" s="9"/>
      <c r="O10" s="9"/>
    </row>
    <row r="11" spans="2:15">
      <c r="B11" s="11"/>
      <c r="C11" s="11"/>
      <c r="D11" s="16"/>
      <c r="E11" s="16"/>
      <c r="F11" s="3"/>
      <c r="G11" s="6"/>
      <c r="H11" s="6"/>
      <c r="I11" s="9"/>
      <c r="J11" s="9"/>
      <c r="K11" s="9"/>
      <c r="L11" s="9"/>
      <c r="M11" s="9"/>
      <c r="N11" s="9"/>
      <c r="O11" s="9"/>
    </row>
    <row r="12" spans="2:15">
      <c r="B12" s="11"/>
      <c r="C12" s="11"/>
      <c r="D12" s="16"/>
      <c r="E12" s="16"/>
      <c r="F12" s="3"/>
      <c r="G12" s="6"/>
      <c r="H12" s="6"/>
      <c r="I12" s="9"/>
      <c r="J12" s="9"/>
      <c r="K12" s="9"/>
      <c r="L12" s="9"/>
      <c r="M12" s="9"/>
      <c r="N12" s="9"/>
      <c r="O12" s="9"/>
    </row>
    <row r="13" spans="2:15">
      <c r="B13" s="11"/>
      <c r="C13" s="11"/>
      <c r="D13" s="16"/>
      <c r="E13" s="16"/>
      <c r="F13" s="3"/>
      <c r="G13" s="6"/>
      <c r="H13" s="6"/>
      <c r="I13" s="9"/>
      <c r="J13" s="9"/>
      <c r="K13" s="9"/>
      <c r="L13" s="9"/>
      <c r="M13" s="9"/>
      <c r="N13" s="9"/>
      <c r="O13" s="9"/>
    </row>
    <row r="14" spans="2:15">
      <c r="B14" s="11"/>
      <c r="C14" s="11"/>
      <c r="D14" s="16"/>
      <c r="E14" s="16"/>
      <c r="F14" s="3"/>
      <c r="G14" s="6"/>
      <c r="H14" s="6"/>
      <c r="I14" s="9"/>
      <c r="J14" s="9"/>
      <c r="K14" s="9"/>
      <c r="L14" s="9"/>
      <c r="M14" s="9"/>
      <c r="N14" s="9"/>
      <c r="O14" s="9"/>
    </row>
    <row r="15" spans="2:15">
      <c r="B15" s="11"/>
      <c r="C15" s="11"/>
      <c r="D15" s="16"/>
      <c r="E15" s="16"/>
      <c r="F15" s="3"/>
      <c r="G15" s="6"/>
      <c r="H15" s="6"/>
      <c r="I15" s="9"/>
      <c r="J15" s="9"/>
      <c r="K15" s="9"/>
      <c r="L15" s="9"/>
      <c r="M15" s="9"/>
      <c r="N15" s="9"/>
      <c r="O15" s="9"/>
    </row>
    <row r="16" spans="2:15">
      <c r="B16" s="11"/>
      <c r="C16" s="11"/>
      <c r="D16" s="16"/>
      <c r="E16" s="16"/>
      <c r="F16" s="3"/>
      <c r="G16" s="6"/>
      <c r="H16" s="6"/>
      <c r="I16" s="9"/>
      <c r="J16" s="9"/>
      <c r="K16" s="9"/>
      <c r="L16" s="9"/>
      <c r="M16" s="9"/>
      <c r="N16" s="9"/>
      <c r="O16" s="9"/>
    </row>
    <row r="17" spans="2:15">
      <c r="B17" s="11"/>
      <c r="C17" s="11"/>
      <c r="D17" s="16"/>
      <c r="E17" s="16"/>
      <c r="F17" s="3"/>
      <c r="G17" s="6"/>
      <c r="H17" s="6"/>
      <c r="I17" s="9"/>
      <c r="J17" s="9"/>
      <c r="K17" s="9"/>
      <c r="L17" s="9"/>
      <c r="M17" s="9"/>
      <c r="N17" s="9"/>
      <c r="O17" s="9"/>
    </row>
    <row r="18" spans="2:15">
      <c r="B18" s="11"/>
      <c r="C18" s="11"/>
      <c r="D18" s="16"/>
      <c r="E18" s="16"/>
      <c r="F18" s="3"/>
      <c r="G18" s="6"/>
      <c r="H18" s="6"/>
      <c r="I18" s="9"/>
      <c r="J18" s="9"/>
      <c r="K18" s="9"/>
      <c r="L18" s="9"/>
      <c r="M18" s="9"/>
      <c r="N18" s="9"/>
      <c r="O18" s="9"/>
    </row>
    <row r="19" spans="2:15">
      <c r="B19" s="11"/>
      <c r="C19" s="11"/>
      <c r="D19" s="16"/>
      <c r="E19" s="16"/>
      <c r="F19" s="3"/>
      <c r="G19" s="6"/>
      <c r="H19" s="6"/>
      <c r="I19" s="9"/>
      <c r="J19" s="9"/>
      <c r="K19" s="9"/>
      <c r="L19" s="9"/>
      <c r="M19" s="9"/>
      <c r="N19" s="9"/>
      <c r="O19" s="9"/>
    </row>
    <row r="20" spans="2:15">
      <c r="B20" s="11"/>
      <c r="C20" s="11"/>
      <c r="D20" s="16"/>
      <c r="E20" s="16"/>
      <c r="F20" s="3"/>
      <c r="G20" s="6"/>
      <c r="H20" s="6"/>
      <c r="I20" s="9"/>
      <c r="J20" s="9"/>
      <c r="K20" s="9"/>
      <c r="L20" s="9"/>
      <c r="M20" s="9"/>
      <c r="N20" s="9"/>
      <c r="O20" s="9"/>
    </row>
    <row r="21" spans="2:15">
      <c r="B21" s="11"/>
      <c r="C21" s="11"/>
      <c r="D21" s="16"/>
      <c r="E21" s="16"/>
      <c r="F21" s="3"/>
      <c r="G21" s="6"/>
      <c r="H21" s="6"/>
      <c r="I21" s="9"/>
      <c r="J21" s="9"/>
      <c r="K21" s="9"/>
      <c r="L21" s="9"/>
      <c r="M21" s="9"/>
      <c r="N21" s="9"/>
      <c r="O21" s="9"/>
    </row>
    <row r="22" spans="2:15">
      <c r="B22" s="11"/>
      <c r="C22" s="11"/>
      <c r="D22" s="16"/>
      <c r="E22" s="16"/>
      <c r="F22" s="3"/>
      <c r="G22" s="6"/>
      <c r="H22" s="6"/>
      <c r="I22" s="9"/>
      <c r="J22" s="9"/>
      <c r="K22" s="9"/>
      <c r="L22" s="9"/>
      <c r="M22" s="9"/>
      <c r="N22" s="9"/>
      <c r="O22" s="9"/>
    </row>
    <row r="23" spans="2:15">
      <c r="B23" s="11"/>
      <c r="C23" s="11"/>
      <c r="D23" s="16"/>
      <c r="E23" s="16"/>
      <c r="F23" s="3"/>
      <c r="G23" s="6"/>
      <c r="H23" s="6"/>
      <c r="I23" s="9"/>
      <c r="J23" s="9"/>
      <c r="K23" s="9"/>
      <c r="L23" s="9"/>
      <c r="M23" s="9"/>
      <c r="N23" s="9"/>
      <c r="O23" s="9"/>
    </row>
    <row r="24" spans="2:15">
      <c r="B24" s="11"/>
      <c r="C24" s="11"/>
      <c r="D24" s="16"/>
      <c r="E24" s="16"/>
      <c r="F24" s="3"/>
      <c r="G24" s="6"/>
      <c r="H24" s="6"/>
      <c r="I24" s="9"/>
      <c r="J24" s="9"/>
      <c r="K24" s="9"/>
      <c r="L24" s="9"/>
      <c r="M24" s="9"/>
      <c r="N24" s="9"/>
      <c r="O24" s="9"/>
    </row>
    <row r="25" spans="2:15">
      <c r="B25" s="11"/>
      <c r="C25" s="11"/>
      <c r="D25" s="16"/>
      <c r="E25" s="16"/>
      <c r="F25" s="3"/>
      <c r="G25" s="6"/>
      <c r="H25" s="6"/>
      <c r="I25" s="9"/>
      <c r="J25" s="9"/>
      <c r="K25" s="9"/>
      <c r="L25" s="9"/>
      <c r="M25" s="9"/>
      <c r="N25" s="9"/>
      <c r="O25" s="9"/>
    </row>
    <row r="26" spans="2:15">
      <c r="B26" s="11"/>
      <c r="C26" s="11"/>
      <c r="D26" s="16"/>
      <c r="E26" s="16"/>
      <c r="F26" s="3"/>
      <c r="G26" s="6"/>
      <c r="H26" s="6"/>
      <c r="I26" s="9"/>
      <c r="J26" s="9"/>
      <c r="K26" s="9"/>
      <c r="L26" s="9"/>
      <c r="M26" s="9"/>
      <c r="N26" s="9"/>
      <c r="O26" s="9"/>
    </row>
    <row r="27" spans="2:15">
      <c r="B27" s="11"/>
      <c r="C27" s="11"/>
      <c r="D27" s="16"/>
      <c r="E27" s="16"/>
      <c r="F27" s="3"/>
      <c r="G27" s="6"/>
      <c r="H27" s="6"/>
      <c r="I27" s="9"/>
      <c r="J27" s="9"/>
      <c r="K27" s="9"/>
      <c r="L27" s="9"/>
      <c r="M27" s="9"/>
      <c r="N27" s="9"/>
      <c r="O27" s="9"/>
    </row>
    <row r="28" spans="2:15">
      <c r="B28" s="11"/>
      <c r="C28" s="11"/>
      <c r="D28" s="22"/>
      <c r="E28" s="22"/>
      <c r="F28" s="4"/>
      <c r="G28" s="7"/>
      <c r="H28" s="7"/>
      <c r="I28" s="9"/>
      <c r="J28" s="9"/>
      <c r="K28" s="9"/>
      <c r="L28" s="9"/>
      <c r="M28" s="9"/>
      <c r="N28" s="9"/>
      <c r="O28" s="9"/>
    </row>
    <row r="29" spans="2:15">
      <c r="B29" s="11"/>
      <c r="C29" s="11"/>
      <c r="D29" s="22"/>
      <c r="E29" s="22"/>
      <c r="F29" s="4"/>
      <c r="G29" s="7"/>
      <c r="H29" s="7"/>
      <c r="I29" s="9"/>
      <c r="J29" s="9"/>
      <c r="K29" s="9"/>
      <c r="L29" s="9"/>
      <c r="M29" s="9"/>
      <c r="N29" s="9"/>
      <c r="O29" s="9"/>
    </row>
    <row r="40" spans="9:9">
      <c r="I40"/>
    </row>
    <row r="41" spans="9:9">
      <c r="I41"/>
    </row>
    <row r="42" spans="9:9">
      <c r="I42"/>
    </row>
    <row r="43" spans="9:9">
      <c r="I43"/>
    </row>
    <row r="44" spans="9:9">
      <c r="I44"/>
    </row>
    <row r="45" spans="9:9">
      <c r="I45"/>
    </row>
    <row r="46" spans="9:9">
      <c r="I46"/>
    </row>
    <row r="47" spans="9:9">
      <c r="I47"/>
    </row>
    <row r="48" spans="9:9">
      <c r="I48"/>
    </row>
    <row r="49" spans="9:9">
      <c r="I49"/>
    </row>
    <row r="50" spans="9:9">
      <c r="I50"/>
    </row>
    <row r="51" spans="9:9">
      <c r="I51"/>
    </row>
    <row r="52" spans="9:9">
      <c r="I52"/>
    </row>
    <row r="53" spans="9:9">
      <c r="I53"/>
    </row>
    <row r="54" spans="9:9">
      <c r="I54"/>
    </row>
    <row r="55" spans="9:9">
      <c r="I55"/>
    </row>
    <row r="56" spans="9:9">
      <c r="I56"/>
    </row>
    <row r="57" spans="9:9">
      <c r="I57"/>
    </row>
    <row r="58" spans="9:9">
      <c r="I58"/>
    </row>
    <row r="62902" spans="2:3">
      <c r="B62902" s="12"/>
      <c r="C62902" s="12"/>
    </row>
    <row r="1027898" spans="2:3">
      <c r="B1027898" s="13"/>
      <c r="C1027898" s="17"/>
    </row>
    <row r="1039942" spans="2:3">
      <c r="B1039942" s="13"/>
      <c r="C1039942" s="17"/>
    </row>
  </sheetData>
  <autoFilter ref="B3:O29"/>
  <mergeCells count="2">
    <mergeCell ref="B2:G2"/>
    <mergeCell ref="I2:O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사내불량</vt:lpstr>
      <vt:lpstr>사외불량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김훈희</cp:lastModifiedBy>
  <dcterms:created xsi:type="dcterms:W3CDTF">2026-02-03T12:25:57Z</dcterms:created>
  <dcterms:modified xsi:type="dcterms:W3CDTF">2026-02-22T14:39:58Z</dcterms:modified>
</cp:coreProperties>
</file>